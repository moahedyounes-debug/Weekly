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1F4E78"/>
      <sz val="11"/>
    </font>
    <font>
      <b val="1"/>
      <color rgb="001F4E78"/>
      <sz val="20"/>
    </font>
    <font>
      <b val="1"/>
      <color rgb="00FFFFFF"/>
      <sz val="13"/>
    </font>
    <font>
      <b val="1"/>
      <color rgb="001F4E78"/>
      <sz val="16"/>
    </font>
    <font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9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strike val="1"/>
        <color rgb="007F7F7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'Dashboard'!$A$9:$A$11</f>
            </numRef>
          </cat>
          <val>
            <numRef>
              <f>'Dashboard'!$B$9:$B$11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% by Employee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'Dashboard'!$A$18:$A$22</f>
            </numRef>
          </cat>
          <val>
            <numRef>
              <f>'Dashboard'!$F$18:$F$22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Done vs Open by Module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'Dashboard'!$A$27:$A$32</f>
            </numRef>
          </cat>
          <val>
            <numRef>
              <f>'Dashboard'!$C$27:$C$32</f>
            </numRef>
          </val>
        </ser>
        <ser>
          <idx val="1"/>
          <order val="1"/>
          <tx>
            <strRef>
              <f>'Dashboard'!D26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'Dashboard'!$A$27:$A$32</f>
            </numRef>
          </cat>
          <val>
            <numRef>
              <f>'Dashboard'!$D$27:$D$32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Mix by Week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'Dashboard'!$A$37:$A$39</f>
            </numRef>
          </cat>
          <val>
            <numRef>
              <f>'Dashboard'!$C$37:$C$39</f>
            </numRef>
          </val>
        </ser>
        <ser>
          <idx val="1"/>
          <order val="1"/>
          <tx>
            <strRef>
              <f>'Dashboard'!D36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'Dashboard'!$A$37:$A$39</f>
            </numRef>
          </cat>
          <val>
            <numRef>
              <f>'Dashboard'!$D$37:$D$39</f>
            </numRef>
          </val>
        </ser>
        <ser>
          <idx val="2"/>
          <order val="2"/>
          <tx>
            <strRef>
              <f>'Dashboard'!E36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'Dashboard'!$A$37:$A$39</f>
            </numRef>
          </cat>
          <val>
            <numRef>
              <f>'Dashboard'!$E$37:$E$39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%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'Dashboard'!$A$37:$A$39</f>
            </numRef>
          </cat>
          <val>
            <numRef>
              <f>'Dashboard'!$F$37:$F$39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Completion % by Week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'Dashboard'!$B$43:$D$43</f>
            </numRef>
          </cat>
          <val>
            <numRef>
              <f>'Dashboard'!$C$43:$D$43</f>
            </numRef>
          </val>
        </ser>
        <ser>
          <idx val="1"/>
          <order val="1"/>
          <tx>
            <strRef>
              <f>'Dashboard'!B44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'Dashboard'!$B$43:$D$43</f>
            </numRef>
          </cat>
          <val>
            <numRef>
              <f>'Dashboard'!$C$44:$D$44</f>
            </numRef>
          </val>
        </ser>
        <ser>
          <idx val="2"/>
          <order val="2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'Dashboard'!$B$43:$D$43</f>
            </numRef>
          </cat>
          <val>
            <numRef>
              <f>'Dashboard'!$C$45:$D$45</f>
            </numRef>
          </val>
        </ser>
        <ser>
          <idx val="3"/>
          <order val="3"/>
          <tx>
            <strRef>
              <f>'Dashboard'!B46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'Dashboard'!$B$43:$D$43</f>
            </numRef>
          </cat>
          <val>
            <numRef>
              <f>'Dashboard'!$C$46:$D$46</f>
            </numRef>
          </val>
        </ser>
        <ser>
          <idx val="4"/>
          <order val="4"/>
          <tx>
            <strRef>
              <f>'Dashboard'!B47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'Dashboard'!$B$43:$D$43</f>
            </numRef>
          </cat>
          <val>
            <numRef>
              <f>'Dashboard'!$C$47:$D$47</f>
            </numRef>
          </val>
        </ser>
        <ser>
          <idx val="5"/>
          <order val="5"/>
          <tx>
            <strRef>
              <f>'Dashboard'!B48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'Dashboard'!$B$43:$D$43</f>
            </numRef>
          </cat>
          <val>
            <numRef>
              <f>'Dashboard'!$C$48:$D$48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24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34</row>
      <rowOff>0</rowOff>
    </from>
    <ext cx="50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52</row>
      <rowOff>0</rowOff>
    </from>
    <ext cx="504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41</row>
      <rowOff>0</rowOff>
    </from>
    <ext cx="720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skTracker" displayName="TaskTracker" ref="A1:L48" headerRowCount="1">
  <autoFilter ref="A1:L48"/>
  <tableColumns count="12">
    <tableColumn id="1" name="Open Time"/>
    <tableColumn id="2" name="Module"/>
    <tableColumn id="3" name="Question"/>
    <tableColumn id="4" name="PIC"/>
    <tableColumn id="5" name="Management Action"/>
    <tableColumn id="6" name="Completion Time"/>
    <tableColumn id="7" name="Status"/>
    <tableColumn id="8" name="Remarks"/>
    <tableColumn id="9" name="Description"/>
    <tableColumn id="10" name="New Tasks"/>
    <tableColumn id="11" name="Source Week"/>
    <tableColumn id="12" name="Done? (✓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  <col width="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Service Weekly KT — Interactive Dashboard</t>
        </is>
      </c>
    </row>
    <row r="3">
      <c r="A3" s="2" t="inlineStr">
        <is>
          <t>Total Tasks</t>
        </is>
      </c>
      <c r="C3" s="3" t="inlineStr">
        <is>
          <t>Completed</t>
        </is>
      </c>
      <c r="E3" s="4" t="inlineStr">
        <is>
          <t>In Process</t>
        </is>
      </c>
      <c r="G3" s="5" t="inlineStr">
        <is>
          <t>New / Pending</t>
        </is>
      </c>
      <c r="I3" s="6" t="inlineStr">
        <is>
          <t>Completion %</t>
        </is>
      </c>
    </row>
    <row r="4" ht="26" customHeight="1">
      <c r="A4" s="7">
        <f>COUNTA(Tasks!B2:B1000)</f>
        <v/>
      </c>
      <c r="C4" s="8">
        <f>COUNTIF(Tasks!G2:G1000,"Done")</f>
        <v/>
      </c>
      <c r="E4" s="9">
        <f>COUNTIF(Tasks!G2:G1000,"In process")</f>
        <v/>
      </c>
      <c r="G4" s="10">
        <f>COUNTIF(Tasks!G2:G1000,"New")</f>
        <v/>
      </c>
      <c r="I4" s="11">
        <f>IFERROR(COUNTIF(Tasks!G2:G1000,"Done")/COUNTA(Tasks!B2:B1000),0)</f>
        <v/>
      </c>
    </row>
    <row r="5" ht="26" customHeight="1"/>
    <row r="7">
      <c r="A7" s="12" t="inlineStr">
        <is>
          <t>Status Breakdown</t>
        </is>
      </c>
    </row>
    <row r="8">
      <c r="A8" s="13" t="inlineStr">
        <is>
          <t>Status</t>
        </is>
      </c>
      <c r="B8" s="13" t="inlineStr">
        <is>
          <t>Count</t>
        </is>
      </c>
      <c r="C8" s="13" t="inlineStr">
        <is>
          <t>Share</t>
        </is>
      </c>
    </row>
    <row r="9">
      <c r="A9" s="14" t="inlineStr">
        <is>
          <t>Done</t>
        </is>
      </c>
      <c r="B9" s="15">
        <f>COUNTIF(Tasks!G2:G1000,"Done")</f>
        <v/>
      </c>
      <c r="C9" s="16">
        <f>IFERROR(B9/SUM($B$9:$B$11),0)</f>
        <v/>
      </c>
    </row>
    <row r="10">
      <c r="A10" s="17" t="inlineStr">
        <is>
          <t>In process</t>
        </is>
      </c>
      <c r="B10" s="15">
        <f>COUNTIF(Tasks!G2:G1000,"In process")</f>
        <v/>
      </c>
      <c r="C10" s="16">
        <f>IFERROR(B10/SUM($B$9:$B$11),0)</f>
        <v/>
      </c>
    </row>
    <row r="11">
      <c r="A11" s="18" t="inlineStr">
        <is>
          <t>New</t>
        </is>
      </c>
      <c r="B11" s="15">
        <f>COUNTIF(Tasks!G2:G1000,"New")</f>
        <v/>
      </c>
      <c r="C11" s="16">
        <f>IFERROR(B11/SUM($B$9:$B$11),0)</f>
        <v/>
      </c>
    </row>
    <row r="16">
      <c r="A16" s="12" t="inlineStr">
        <is>
          <t>Employee Performance</t>
        </is>
      </c>
    </row>
    <row r="17">
      <c r="A17" s="13" t="inlineStr">
        <is>
          <t>PIC</t>
        </is>
      </c>
      <c r="B17" s="13" t="inlineStr">
        <is>
          <t>Total</t>
        </is>
      </c>
      <c r="C17" s="13" t="inlineStr">
        <is>
          <t>Done</t>
        </is>
      </c>
      <c r="D17" s="13" t="inlineStr">
        <is>
          <t>In Process</t>
        </is>
      </c>
      <c r="E17" s="13" t="inlineStr">
        <is>
          <t>New</t>
        </is>
      </c>
      <c r="F17" s="13" t="inlineStr">
        <is>
          <t>Completion %</t>
        </is>
      </c>
    </row>
    <row r="18">
      <c r="A18" s="19" t="inlineStr">
        <is>
          <t>Ahad</t>
        </is>
      </c>
      <c r="B18" s="15">
        <f>COUNTIF(Tasks!D2:D1000,A18)</f>
        <v/>
      </c>
      <c r="C18" s="15">
        <f>COUNTIFS(Tasks!D2:D1000,A18,Tasks!G2:G1000,"Done")</f>
        <v/>
      </c>
      <c r="D18" s="15">
        <f>COUNTIFS(Tasks!D2:D1000,A18,Tasks!G2:G1000,"In process")</f>
        <v/>
      </c>
      <c r="E18" s="15">
        <f>COUNTIFS(Tasks!D2:D1000,A18,Tasks!G2:G1000,"New")</f>
        <v/>
      </c>
      <c r="F18" s="16">
        <f>IFERROR(C18/B18,0)</f>
        <v/>
      </c>
    </row>
    <row r="19">
      <c r="A19" s="19" t="inlineStr">
        <is>
          <t>Arslan</t>
        </is>
      </c>
      <c r="B19" s="15">
        <f>COUNTIF(Tasks!D2:D1000,A19)</f>
        <v/>
      </c>
      <c r="C19" s="15">
        <f>COUNTIFS(Tasks!D2:D1000,A19,Tasks!G2:G1000,"Done")</f>
        <v/>
      </c>
      <c r="D19" s="15">
        <f>COUNTIFS(Tasks!D2:D1000,A19,Tasks!G2:G1000,"In process")</f>
        <v/>
      </c>
      <c r="E19" s="15">
        <f>COUNTIFS(Tasks!D2:D1000,A19,Tasks!G2:G1000,"New")</f>
        <v/>
      </c>
      <c r="F19" s="16">
        <f>IFERROR(C19/B19,0)</f>
        <v/>
      </c>
    </row>
    <row r="20">
      <c r="A20" s="19" t="inlineStr">
        <is>
          <t>Moahed</t>
        </is>
      </c>
      <c r="B20" s="15">
        <f>COUNTIF(Tasks!D2:D1000,A20)</f>
        <v/>
      </c>
      <c r="C20" s="15">
        <f>COUNTIFS(Tasks!D2:D1000,A20,Tasks!G2:G1000,"Done")</f>
        <v/>
      </c>
      <c r="D20" s="15">
        <f>COUNTIFS(Tasks!D2:D1000,A20,Tasks!G2:G1000,"In process")</f>
        <v/>
      </c>
      <c r="E20" s="15">
        <f>COUNTIFS(Tasks!D2:D1000,A20,Tasks!G2:G1000,"New")</f>
        <v/>
      </c>
      <c r="F20" s="16">
        <f>IFERROR(C20/B20,0)</f>
        <v/>
      </c>
    </row>
    <row r="21">
      <c r="A21" s="19" t="inlineStr">
        <is>
          <t>Moahed - Victory</t>
        </is>
      </c>
      <c r="B21" s="15">
        <f>COUNTIF(Tasks!D2:D1000,A21)</f>
        <v/>
      </c>
      <c r="C21" s="15">
        <f>COUNTIFS(Tasks!D2:D1000,A21,Tasks!G2:G1000,"Done")</f>
        <v/>
      </c>
      <c r="D21" s="15">
        <f>COUNTIFS(Tasks!D2:D1000,A21,Tasks!G2:G1000,"In process")</f>
        <v/>
      </c>
      <c r="E21" s="15">
        <f>COUNTIFS(Tasks!D2:D1000,A21,Tasks!G2:G1000,"New")</f>
        <v/>
      </c>
      <c r="F21" s="16">
        <f>IFERROR(C21/B21,0)</f>
        <v/>
      </c>
    </row>
    <row r="22">
      <c r="A22" s="19" t="inlineStr">
        <is>
          <t>Victory</t>
        </is>
      </c>
      <c r="B22" s="15">
        <f>COUNTIF(Tasks!D2:D1000,A22)</f>
        <v/>
      </c>
      <c r="C22" s="15">
        <f>COUNTIFS(Tasks!D2:D1000,A22,Tasks!G2:G1000,"Done")</f>
        <v/>
      </c>
      <c r="D22" s="15">
        <f>COUNTIFS(Tasks!D2:D1000,A22,Tasks!G2:G1000,"In process")</f>
        <v/>
      </c>
      <c r="E22" s="15">
        <f>COUNTIFS(Tasks!D2:D1000,A22,Tasks!G2:G1000,"New")</f>
        <v/>
      </c>
      <c r="F22" s="16">
        <f>IFERROR(C22/B22,0)</f>
        <v/>
      </c>
    </row>
    <row r="25">
      <c r="A25" s="12" t="inlineStr">
        <is>
          <t>Tasks by Module</t>
        </is>
      </c>
    </row>
    <row r="26">
      <c r="A26" s="13" t="inlineStr">
        <is>
          <t>Module</t>
        </is>
      </c>
      <c r="B26" s="13" t="inlineStr">
        <is>
          <t>Total</t>
        </is>
      </c>
      <c r="C26" s="13" t="inlineStr">
        <is>
          <t>Done</t>
        </is>
      </c>
      <c r="D26" s="13" t="inlineStr">
        <is>
          <t>Open</t>
        </is>
      </c>
    </row>
    <row r="27">
      <c r="A27" s="15" t="inlineStr">
        <is>
          <t>CC</t>
        </is>
      </c>
      <c r="B27" s="15">
        <f>COUNTIF(Tasks!B2:B1000,A27)</f>
        <v/>
      </c>
      <c r="C27" s="15">
        <f>COUNTIFS(Tasks!B2:B1000,A27,Tasks!G2:G1000,"Done")</f>
        <v/>
      </c>
      <c r="D27" s="15">
        <f>B27-C27</f>
        <v/>
      </c>
    </row>
    <row r="28">
      <c r="A28" s="15" t="inlineStr">
        <is>
          <t>IT</t>
        </is>
      </c>
      <c r="B28" s="15">
        <f>COUNTIF(Tasks!B2:B1000,A28)</f>
        <v/>
      </c>
      <c r="C28" s="15">
        <f>COUNTIFS(Tasks!B2:B1000,A28,Tasks!G2:G1000,"Done")</f>
        <v/>
      </c>
      <c r="D28" s="15">
        <f>B28-C28</f>
        <v/>
      </c>
    </row>
    <row r="29">
      <c r="A29" s="15" t="inlineStr">
        <is>
          <t>Qulity</t>
        </is>
      </c>
      <c r="B29" s="15">
        <f>COUNTIF(Tasks!B2:B1000,A29)</f>
        <v/>
      </c>
      <c r="C29" s="15">
        <f>COUNTIFS(Tasks!B2:B1000,A29,Tasks!G2:G1000,"Done")</f>
        <v/>
      </c>
      <c r="D29" s="15">
        <f>B29-C29</f>
        <v/>
      </c>
    </row>
    <row r="30">
      <c r="A30" s="15" t="inlineStr">
        <is>
          <t>SN</t>
        </is>
      </c>
      <c r="B30" s="15">
        <f>COUNTIF(Tasks!B2:B1000,A30)</f>
        <v/>
      </c>
      <c r="C30" s="15">
        <f>COUNTIFS(Tasks!B2:B1000,A30,Tasks!G2:G1000,"Done")</f>
        <v/>
      </c>
      <c r="D30" s="15">
        <f>B30-C30</f>
        <v/>
      </c>
    </row>
    <row r="31">
      <c r="A31" s="15" t="inlineStr">
        <is>
          <t>SP</t>
        </is>
      </c>
      <c r="B31" s="15">
        <f>COUNTIF(Tasks!B2:B1000,A31)</f>
        <v/>
      </c>
      <c r="C31" s="15">
        <f>COUNTIFS(Tasks!B2:B1000,A31,Tasks!G2:G1000,"Done")</f>
        <v/>
      </c>
      <c r="D31" s="15">
        <f>B31-C31</f>
        <v/>
      </c>
    </row>
    <row r="32">
      <c r="A32" s="15" t="inlineStr">
        <is>
          <t>TEC</t>
        </is>
      </c>
      <c r="B32" s="15">
        <f>COUNTIF(Tasks!B2:B1000,A32)</f>
        <v/>
      </c>
      <c r="C32" s="15">
        <f>COUNTIFS(Tasks!B2:B1000,A32,Tasks!G2:G1000,"Done")</f>
        <v/>
      </c>
      <c r="D32" s="15">
        <f>B32-C32</f>
        <v/>
      </c>
    </row>
    <row r="35">
      <c r="A35" s="12" t="inlineStr">
        <is>
          <t>Weekly Trend — Status Mix &amp; Completion %</t>
        </is>
      </c>
    </row>
    <row r="36">
      <c r="A36" s="13" t="inlineStr">
        <is>
          <t>Week</t>
        </is>
      </c>
      <c r="B36" s="13" t="inlineStr">
        <is>
          <t>Total</t>
        </is>
      </c>
      <c r="C36" s="13" t="inlineStr">
        <is>
          <t>Done</t>
        </is>
      </c>
      <c r="D36" s="13" t="inlineStr">
        <is>
          <t>In Process</t>
        </is>
      </c>
      <c r="E36" s="13" t="inlineStr">
        <is>
          <t>New</t>
        </is>
      </c>
      <c r="F36" s="13" t="inlineStr">
        <is>
          <t>Completion %</t>
        </is>
      </c>
    </row>
    <row r="37">
      <c r="A37" s="15" t="inlineStr">
        <is>
          <t>W19</t>
        </is>
      </c>
      <c r="B37" s="15">
        <f>COUNTIF(Tasks!K2:K1000,A37)</f>
        <v/>
      </c>
      <c r="C37" s="15">
        <f>COUNTIFS(Tasks!K2:K1000,A37,Tasks!G2:G1000,"Done")</f>
        <v/>
      </c>
      <c r="D37" s="15">
        <f>COUNTIFS(Tasks!K2:K1000,A37,Tasks!G2:G1000,"In process")</f>
        <v/>
      </c>
      <c r="E37" s="15">
        <f>COUNTIFS(Tasks!K2:K1000,A37,Tasks!G2:G1000,"New")</f>
        <v/>
      </c>
      <c r="F37" s="16">
        <f>IFERROR(C37/B37,0)</f>
        <v/>
      </c>
    </row>
    <row r="38">
      <c r="A38" s="15" t="inlineStr">
        <is>
          <t>W21</t>
        </is>
      </c>
      <c r="B38" s="15">
        <f>COUNTIF(Tasks!K2:K1000,A38)</f>
        <v/>
      </c>
      <c r="C38" s="15">
        <f>COUNTIFS(Tasks!K2:K1000,A38,Tasks!G2:G1000,"Done")</f>
        <v/>
      </c>
      <c r="D38" s="15">
        <f>COUNTIFS(Tasks!K2:K1000,A38,Tasks!G2:G1000,"In process")</f>
        <v/>
      </c>
      <c r="E38" s="15">
        <f>COUNTIFS(Tasks!K2:K1000,A38,Tasks!G2:G1000,"New")</f>
        <v/>
      </c>
      <c r="F38" s="16">
        <f>IFERROR(C38/B38,0)</f>
        <v/>
      </c>
    </row>
    <row r="39">
      <c r="A39" s="15" t="inlineStr">
        <is>
          <t>W23</t>
        </is>
      </c>
      <c r="B39" s="15">
        <f>COUNTIF(Tasks!K2:K1000,A39)</f>
        <v/>
      </c>
      <c r="C39" s="15">
        <f>COUNTIFS(Tasks!K2:K1000,A39,Tasks!G2:G1000,"Done")</f>
        <v/>
      </c>
      <c r="D39" s="15">
        <f>COUNTIFS(Tasks!K2:K1000,A39,Tasks!G2:G1000,"In process")</f>
        <v/>
      </c>
      <c r="E39" s="15">
        <f>COUNTIFS(Tasks!K2:K1000,A39,Tasks!G2:G1000,"New")</f>
        <v/>
      </c>
      <c r="F39" s="16">
        <f>IFERROR(C39/B39,0)</f>
        <v/>
      </c>
    </row>
    <row r="42">
      <c r="A42" s="12" t="inlineStr">
        <is>
          <t>Weekly Performance by Employee — Completion %</t>
        </is>
      </c>
    </row>
    <row r="43">
      <c r="A43" s="13" t="inlineStr">
        <is>
          <t>PIC</t>
        </is>
      </c>
      <c r="B43" s="13" t="inlineStr">
        <is>
          <t>W19</t>
        </is>
      </c>
      <c r="C43" s="13" t="inlineStr">
        <is>
          <t>W21</t>
        </is>
      </c>
      <c r="D43" s="13" t="inlineStr">
        <is>
          <t>W23</t>
        </is>
      </c>
    </row>
    <row r="44">
      <c r="A44" s="19" t="inlineStr">
        <is>
          <t>Ahad</t>
        </is>
      </c>
      <c r="B44" s="20">
        <f>IFERROR(COUNTIFS(Tasks!D2:D1000,$A44,Tasks!K2:K1000,B$43,Tasks!G2:G1000,"Done")/COUNTIFS(Tasks!D2:D1000,$A44,Tasks!K2:K1000,B$43),0)</f>
        <v/>
      </c>
      <c r="C44" s="20">
        <f>IFERROR(COUNTIFS(Tasks!D2:D1000,$A44,Tasks!K2:K1000,C$43,Tasks!G2:G1000,"Done")/COUNTIFS(Tasks!D2:D1000,$A44,Tasks!K2:K1000,C$43),0)</f>
        <v/>
      </c>
      <c r="D44" s="20">
        <f>IFERROR(COUNTIFS(Tasks!D2:D1000,$A44,Tasks!K2:K1000,D$43,Tasks!G2:G1000,"Done")/COUNTIFS(Tasks!D2:D1000,$A44,Tasks!K2:K1000,D$43),0)</f>
        <v/>
      </c>
    </row>
    <row r="45">
      <c r="A45" s="19" t="inlineStr">
        <is>
          <t>Arslan</t>
        </is>
      </c>
      <c r="B45" s="20">
        <f>IFERROR(COUNTIFS(Tasks!D2:D1000,$A45,Tasks!K2:K1000,B$43,Tasks!G2:G1000,"Done")/COUNTIFS(Tasks!D2:D1000,$A45,Tasks!K2:K1000,B$43),0)</f>
        <v/>
      </c>
      <c r="C45" s="20">
        <f>IFERROR(COUNTIFS(Tasks!D2:D1000,$A45,Tasks!K2:K1000,C$43,Tasks!G2:G1000,"Done")/COUNTIFS(Tasks!D2:D1000,$A45,Tasks!K2:K1000,C$43),0)</f>
        <v/>
      </c>
      <c r="D45" s="20">
        <f>IFERROR(COUNTIFS(Tasks!D2:D1000,$A45,Tasks!K2:K1000,D$43,Tasks!G2:G1000,"Done")/COUNTIFS(Tasks!D2:D1000,$A45,Tasks!K2:K1000,D$43),0)</f>
        <v/>
      </c>
    </row>
    <row r="46">
      <c r="A46" s="19" t="inlineStr">
        <is>
          <t>Moahed</t>
        </is>
      </c>
      <c r="B46" s="20">
        <f>IFERROR(COUNTIFS(Tasks!D2:D1000,$A46,Tasks!K2:K1000,B$43,Tasks!G2:G1000,"Done")/COUNTIFS(Tasks!D2:D1000,$A46,Tasks!K2:K1000,B$43),0)</f>
        <v/>
      </c>
      <c r="C46" s="20">
        <f>IFERROR(COUNTIFS(Tasks!D2:D1000,$A46,Tasks!K2:K1000,C$43,Tasks!G2:G1000,"Done")/COUNTIFS(Tasks!D2:D1000,$A46,Tasks!K2:K1000,C$43),0)</f>
        <v/>
      </c>
      <c r="D46" s="20">
        <f>IFERROR(COUNTIFS(Tasks!D2:D1000,$A46,Tasks!K2:K1000,D$43,Tasks!G2:G1000,"Done")/COUNTIFS(Tasks!D2:D1000,$A46,Tasks!K2:K1000,D$43),0)</f>
        <v/>
      </c>
    </row>
    <row r="47">
      <c r="A47" s="19" t="inlineStr">
        <is>
          <t>Moahed - Victory</t>
        </is>
      </c>
      <c r="B47" s="20">
        <f>IFERROR(COUNTIFS(Tasks!D2:D1000,$A47,Tasks!K2:K1000,B$43,Tasks!G2:G1000,"Done")/COUNTIFS(Tasks!D2:D1000,$A47,Tasks!K2:K1000,B$43),0)</f>
        <v/>
      </c>
      <c r="C47" s="20">
        <f>IFERROR(COUNTIFS(Tasks!D2:D1000,$A47,Tasks!K2:K1000,C$43,Tasks!G2:G1000,"Done")/COUNTIFS(Tasks!D2:D1000,$A47,Tasks!K2:K1000,C$43),0)</f>
        <v/>
      </c>
      <c r="D47" s="20">
        <f>IFERROR(COUNTIFS(Tasks!D2:D1000,$A47,Tasks!K2:K1000,D$43,Tasks!G2:G1000,"Done")/COUNTIFS(Tasks!D2:D1000,$A47,Tasks!K2:K1000,D$43),0)</f>
        <v/>
      </c>
    </row>
    <row r="48">
      <c r="A48" s="19" t="inlineStr">
        <is>
          <t>Victory</t>
        </is>
      </c>
      <c r="B48" s="20">
        <f>IFERROR(COUNTIFS(Tasks!D2:D1000,$A48,Tasks!K2:K1000,B$43,Tasks!G2:G1000,"Done")/COUNTIFS(Tasks!D2:D1000,$A48,Tasks!K2:K1000,B$43),0)</f>
        <v/>
      </c>
      <c r="C48" s="20">
        <f>IFERROR(COUNTIFS(Tasks!D2:D1000,$A48,Tasks!K2:K1000,C$43,Tasks!G2:G1000,"Done")/COUNTIFS(Tasks!D2:D1000,$A48,Tasks!K2:K1000,C$43),0)</f>
        <v/>
      </c>
      <c r="D48" s="20">
        <f>IFERROR(COUNTIFS(Tasks!D2:D1000,$A48,Tasks!K2:K1000,D$43,Tasks!G2:G1000,"Done")/COUNTIFS(Tasks!D2:D1000,$A48,Tasks!K2:K1000,D$43),0)</f>
        <v/>
      </c>
    </row>
  </sheetData>
  <mergeCells count="16">
    <mergeCell ref="A16:F16"/>
    <mergeCell ref="A1:J1"/>
    <mergeCell ref="A4:B5"/>
    <mergeCell ref="C4:D5"/>
    <mergeCell ref="E4:F5"/>
    <mergeCell ref="G4:H5"/>
    <mergeCell ref="I4:J5"/>
    <mergeCell ref="A42:F42"/>
    <mergeCell ref="A7:D7"/>
    <mergeCell ref="A25:D25"/>
    <mergeCell ref="A35:F35"/>
    <mergeCell ref="C3:D3"/>
    <mergeCell ref="A3:B3"/>
    <mergeCell ref="G3:H3"/>
    <mergeCell ref="E3:F3"/>
    <mergeCell ref="I3:J3"/>
  </mergeCells>
  <conditionalFormatting sqref="F18:F22">
    <cfRule type="dataBar" priority="1">
      <dataBar>
        <cfvo type="num" val="0"/>
        <cfvo type="num" val="1"/>
        <color rgb="0063BE7B"/>
      </dataBar>
    </cfRule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4:D48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12" customWidth="1" min="4" max="4"/>
    <col width="35" customWidth="1" min="5" max="5"/>
    <col width="14" customWidth="1" min="6" max="6"/>
    <col width="14" customWidth="1" min="7" max="7"/>
    <col width="30" customWidth="1" min="8" max="8"/>
    <col width="30" customWidth="1" min="9" max="9"/>
    <col width="25" customWidth="1" min="10" max="10"/>
    <col width="12" customWidth="1" min="11" max="11"/>
    <col width="12" customWidth="1" min="12" max="12"/>
  </cols>
  <sheetData>
    <row r="1" ht="36" customHeight="1">
      <c r="A1" s="21" t="inlineStr">
        <is>
          <t>Open Time</t>
        </is>
      </c>
      <c r="B1" s="21" t="inlineStr">
        <is>
          <t>Module</t>
        </is>
      </c>
      <c r="C1" s="21" t="inlineStr">
        <is>
          <t>Question</t>
        </is>
      </c>
      <c r="D1" s="21" t="inlineStr">
        <is>
          <t>PIC</t>
        </is>
      </c>
      <c r="E1" s="21" t="inlineStr">
        <is>
          <t>Management Action</t>
        </is>
      </c>
      <c r="F1" s="21" t="inlineStr">
        <is>
          <t>Completion Time</t>
        </is>
      </c>
      <c r="G1" s="21" t="inlineStr">
        <is>
          <t>Status</t>
        </is>
      </c>
      <c r="H1" s="21" t="inlineStr">
        <is>
          <t>Remarks</t>
        </is>
      </c>
      <c r="I1" s="21" t="inlineStr">
        <is>
          <t>Description</t>
        </is>
      </c>
      <c r="J1" s="21" t="inlineStr">
        <is>
          <t>New Tasks</t>
        </is>
      </c>
      <c r="K1" s="21" t="inlineStr">
        <is>
          <t>Source Week</t>
        </is>
      </c>
      <c r="L1" s="21" t="inlineStr">
        <is>
          <t>Done? (✓)</t>
        </is>
      </c>
    </row>
    <row r="2">
      <c r="A2" t="inlineStr">
        <is>
          <t>0607</t>
        </is>
      </c>
      <c r="B2" t="inlineStr">
        <is>
          <t>TEC</t>
        </is>
      </c>
      <c r="C2" t="inlineStr">
        <is>
          <t>Training CC</t>
        </is>
      </c>
      <c r="D2" t="inlineStr">
        <is>
          <t>Ahad</t>
        </is>
      </c>
      <c r="E2" t="inlineStr">
        <is>
          <t>Complete CC Training</t>
        </is>
      </c>
      <c r="F2" t="inlineStr">
        <is>
          <t>Monthly</t>
        </is>
      </c>
      <c r="G2" t="inlineStr">
        <is>
          <t>In process</t>
        </is>
      </c>
      <c r="H2" t="inlineStr">
        <is>
          <t xml:space="preserve"> Plan1/Completed 0)</t>
        </is>
      </c>
      <c r="I2" t="inlineStr">
        <is>
          <t>CC Refreshment Training will be on 22 June.</t>
        </is>
      </c>
      <c r="K2" t="inlineStr">
        <is>
          <t>W23</t>
        </is>
      </c>
      <c r="L2" t="b">
        <v>0</v>
      </c>
    </row>
    <row r="3">
      <c r="A3" t="inlineStr">
        <is>
          <t>0419</t>
        </is>
      </c>
      <c r="B3" t="inlineStr">
        <is>
          <t>TEC</t>
        </is>
      </c>
      <c r="C3" t="inlineStr">
        <is>
          <t>Training New model</t>
        </is>
      </c>
      <c r="D3" t="inlineStr">
        <is>
          <t>Ahad</t>
        </is>
      </c>
      <c r="E3" t="inlineStr">
        <is>
          <t>Floor Standing Training Materials update</t>
        </is>
      </c>
      <c r="F3" t="inlineStr">
        <is>
          <t>2026-04-30</t>
        </is>
      </c>
      <c r="G3" t="inlineStr">
        <is>
          <t>Done</t>
        </is>
      </c>
      <c r="H3" t="inlineStr">
        <is>
          <t>Training PPT Update in progress.</t>
        </is>
      </c>
      <c r="J3" t="inlineStr">
        <is>
          <t xml:space="preserve">Check with HQ for the training meterial </t>
        </is>
      </c>
      <c r="K3" t="inlineStr">
        <is>
          <t>W19</t>
        </is>
      </c>
      <c r="L3" t="b">
        <v>1</v>
      </c>
    </row>
    <row r="4">
      <c r="A4" t="inlineStr">
        <is>
          <t>0426</t>
        </is>
      </c>
      <c r="B4" t="inlineStr">
        <is>
          <t>TEC</t>
        </is>
      </c>
      <c r="C4" t="inlineStr">
        <is>
          <t>Training Online</t>
        </is>
      </c>
      <c r="D4" t="inlineStr">
        <is>
          <t>Ahad</t>
        </is>
      </c>
      <c r="E4" t="inlineStr">
        <is>
          <t>1.ABL Service Centers( Including Floor Standing ) 
2.</t>
        </is>
      </c>
      <c r="F4" t="inlineStr">
        <is>
          <t>2026-05-07</t>
        </is>
      </c>
      <c r="G4" t="inlineStr">
        <is>
          <t>In process</t>
        </is>
      </c>
      <c r="H4" t="inlineStr">
        <is>
          <t>Offline Training 17th May</t>
        </is>
      </c>
      <c r="I4" t="inlineStr">
        <is>
          <t xml:space="preserve">To be conduct in Jeddah - Arrange food &amp; Claim 
Take photos </t>
        </is>
      </c>
      <c r="J4" t="inlineStr">
        <is>
          <t xml:space="preserve">Check for Dammam Staff to come to Riyadh </t>
        </is>
      </c>
      <c r="K4" t="inlineStr">
        <is>
          <t>W19</t>
        </is>
      </c>
      <c r="L4" t="b">
        <v>0</v>
      </c>
    </row>
    <row r="5">
      <c r="A5" t="inlineStr">
        <is>
          <t>0503</t>
        </is>
      </c>
      <c r="B5" t="inlineStr">
        <is>
          <t>TEC</t>
        </is>
      </c>
      <c r="C5" t="inlineStr">
        <is>
          <t>Training Online</t>
        </is>
      </c>
      <c r="D5" t="inlineStr">
        <is>
          <t>Ahad</t>
        </is>
      </c>
      <c r="E5" t="inlineStr">
        <is>
          <t>1.Training plan for UAE</t>
        </is>
      </c>
      <c r="F5" t="inlineStr">
        <is>
          <t>2026-05-31</t>
        </is>
      </c>
      <c r="G5" t="inlineStr">
        <is>
          <t>In process</t>
        </is>
      </c>
      <c r="H5" t="inlineStr">
        <is>
          <t xml:space="preserve">Offline Training </t>
        </is>
      </c>
      <c r="I5" t="inlineStr">
        <is>
          <t>Conduct Offline training in UAE - Discuss with Hassaib Monday - 4th may</t>
        </is>
      </c>
      <c r="K5" t="inlineStr">
        <is>
          <t>W21</t>
        </is>
      </c>
      <c r="L5" t="b">
        <v>0</v>
      </c>
    </row>
    <row r="6">
      <c r="A6" t="inlineStr">
        <is>
          <t>0426</t>
        </is>
      </c>
      <c r="B6" t="inlineStr">
        <is>
          <t>TEC</t>
        </is>
      </c>
      <c r="C6" t="inlineStr">
        <is>
          <t>Installation Training</t>
        </is>
      </c>
      <c r="D6" t="inlineStr">
        <is>
          <t>Ahad</t>
        </is>
      </c>
      <c r="E6" t="inlineStr">
        <is>
          <t>Installtion Training for Sales Dealers Teams in Qassim City.</t>
        </is>
      </c>
      <c r="F6" t="inlineStr">
        <is>
          <t>2026-04-30</t>
        </is>
      </c>
      <c r="G6" t="inlineStr">
        <is>
          <t>In process</t>
        </is>
      </c>
      <c r="H6" t="inlineStr">
        <is>
          <t>0 times / plan 1 times; Communicating with Mr.Alaa for Installation Training in Qassim City in Next week.Instead Training will be done for Riyadh Installation teams.</t>
        </is>
      </c>
      <c r="I6" t="inlineStr">
        <is>
          <t xml:space="preserve">To be confirmed Next Week </t>
        </is>
      </c>
      <c r="K6" t="inlineStr">
        <is>
          <t>W19</t>
        </is>
      </c>
      <c r="L6" t="b">
        <v>0</v>
      </c>
    </row>
    <row r="7">
      <c r="A7" t="inlineStr">
        <is>
          <t>0518</t>
        </is>
      </c>
      <c r="B7" t="inlineStr">
        <is>
          <t>TEC</t>
        </is>
      </c>
      <c r="C7" t="inlineStr">
        <is>
          <t>Technical Support</t>
        </is>
      </c>
      <c r="D7" t="inlineStr">
        <is>
          <t>Ahad</t>
        </is>
      </c>
      <c r="E7" t="inlineStr">
        <is>
          <t>Floor standing unit repair technicial support</t>
        </is>
      </c>
      <c r="F7" t="inlineStr">
        <is>
          <t>2026-04-30</t>
        </is>
      </c>
      <c r="G7" t="inlineStr">
        <is>
          <t>Done</t>
        </is>
      </c>
      <c r="H7" t="inlineStr">
        <is>
          <t>1 / 1 WOs Received</t>
        </is>
      </c>
      <c r="I7" t="inlineStr">
        <is>
          <t>work order:GD20260511315458 has been followed online and closed as value added in Jeddah city.</t>
        </is>
      </c>
      <c r="K7" t="inlineStr">
        <is>
          <t>W23</t>
        </is>
      </c>
      <c r="L7" t="b">
        <v>1</v>
      </c>
    </row>
    <row r="8">
      <c r="A8" t="inlineStr">
        <is>
          <t>0607</t>
        </is>
      </c>
      <c r="B8" t="inlineStr">
        <is>
          <t>Qulity</t>
        </is>
      </c>
      <c r="C8" t="inlineStr">
        <is>
          <t>FG Inspection</t>
        </is>
      </c>
      <c r="D8" t="inlineStr">
        <is>
          <t>Ahad</t>
        </is>
      </c>
      <c r="E8" t="inlineStr">
        <is>
          <t>Complete Onsite FG Inspection activity</t>
        </is>
      </c>
      <c r="F8" t="inlineStr">
        <is>
          <t>Monthly</t>
        </is>
      </c>
      <c r="G8" t="inlineStr">
        <is>
          <t>In process</t>
        </is>
      </c>
      <c r="H8" t="inlineStr">
        <is>
          <t>0 sets / plan 5 sets</t>
        </is>
      </c>
      <c r="I8" t="inlineStr">
        <is>
          <t>will be inspect after New shipment will  recieved on 12th june</t>
        </is>
      </c>
      <c r="K8" t="inlineStr">
        <is>
          <t>W23</t>
        </is>
      </c>
      <c r="L8" t="b">
        <v>0</v>
      </c>
    </row>
    <row r="9">
      <c r="A9" t="inlineStr">
        <is>
          <t>0607</t>
        </is>
      </c>
      <c r="B9" t="inlineStr">
        <is>
          <t>Qulity</t>
        </is>
      </c>
      <c r="C9" t="inlineStr">
        <is>
          <t>Installation</t>
        </is>
      </c>
      <c r="D9" t="inlineStr">
        <is>
          <t>Ahad</t>
        </is>
      </c>
      <c r="E9" t="inlineStr">
        <is>
          <t>Complete Onsite Installation Inspection activity</t>
        </is>
      </c>
      <c r="F9" t="inlineStr">
        <is>
          <t>Monthly</t>
        </is>
      </c>
      <c r="G9" t="inlineStr">
        <is>
          <t>In process</t>
        </is>
      </c>
      <c r="H9" t="inlineStr">
        <is>
          <t>0 units / plan 10 units</t>
        </is>
      </c>
      <c r="I9" t="inlineStr">
        <is>
          <t>Installation will be follow up after sales team confirmation.</t>
        </is>
      </c>
      <c r="K9" t="inlineStr">
        <is>
          <t>W23</t>
        </is>
      </c>
      <c r="L9" t="b">
        <v>0</v>
      </c>
    </row>
    <row r="10">
      <c r="A10" t="inlineStr">
        <is>
          <t>0531</t>
        </is>
      </c>
      <c r="B10" t="inlineStr">
        <is>
          <t>Qulity</t>
        </is>
      </c>
      <c r="C10" t="inlineStr">
        <is>
          <t>Defective parts</t>
        </is>
      </c>
      <c r="D10" t="inlineStr">
        <is>
          <t>Ahad</t>
        </is>
      </c>
      <c r="E10" t="inlineStr">
        <is>
          <t>Complete Defected Parts Report</t>
        </is>
      </c>
      <c r="F10" t="inlineStr">
        <is>
          <t>Monthly</t>
        </is>
      </c>
      <c r="G10" t="inlineStr">
        <is>
          <t>Done</t>
        </is>
      </c>
      <c r="H10" t="inlineStr">
        <is>
          <t>24 reported / 28 received</t>
        </is>
      </c>
      <c r="I10" t="inlineStr">
        <is>
          <t>Waiting for 2 PCB ,parts returned which consumed during month of May.</t>
        </is>
      </c>
      <c r="J10" t="inlineStr">
        <is>
          <t>2 parts on the way 24-May</t>
        </is>
      </c>
      <c r="K10" t="inlineStr">
        <is>
          <t>W23</t>
        </is>
      </c>
      <c r="L10" t="b">
        <v>1</v>
      </c>
    </row>
    <row r="11">
      <c r="A11" t="inlineStr">
        <is>
          <t>0419</t>
        </is>
      </c>
      <c r="B11" t="inlineStr">
        <is>
          <t>SP</t>
        </is>
      </c>
      <c r="C11" t="inlineStr">
        <is>
          <t>SP new modle</t>
        </is>
      </c>
      <c r="D11" t="inlineStr">
        <is>
          <t>Arslan</t>
        </is>
      </c>
      <c r="E11" t="inlineStr">
        <is>
          <t>New Models 2026 SP stock</t>
        </is>
      </c>
      <c r="F11" t="inlineStr">
        <is>
          <t>Monthly</t>
        </is>
      </c>
      <c r="G11" t="inlineStr">
        <is>
          <t>In process</t>
        </is>
      </c>
      <c r="H11" t="inlineStr">
        <is>
          <t>Total Models 55 In Aux  Saudi / S.Parts Not available for 33 Models. ordered for 10 models now remaining 23</t>
        </is>
      </c>
      <c r="K11" t="inlineStr">
        <is>
          <t>W23</t>
        </is>
      </c>
      <c r="L11" t="b">
        <v>0</v>
      </c>
    </row>
    <row r="12">
      <c r="A12" t="inlineStr">
        <is>
          <t>0426</t>
        </is>
      </c>
      <c r="B12" t="inlineStr">
        <is>
          <t>SP</t>
        </is>
      </c>
      <c r="C12" t="inlineStr">
        <is>
          <t>SP lists</t>
        </is>
      </c>
      <c r="D12" t="inlineStr">
        <is>
          <t>Arslan</t>
        </is>
      </c>
      <c r="E12" t="inlineStr">
        <is>
          <t>55 models' spare part lists and explored views</t>
        </is>
      </c>
      <c r="F12" t="inlineStr">
        <is>
          <t>2026-05-30</t>
        </is>
      </c>
      <c r="G12" t="inlineStr">
        <is>
          <t>In process</t>
        </is>
      </c>
      <c r="H12" t="inlineStr">
        <is>
          <t xml:space="preserve"> 55 Models </t>
        </is>
      </c>
      <c r="I12" t="inlineStr">
        <is>
          <t>full list will all spare parts</t>
        </is>
      </c>
      <c r="K12" t="inlineStr">
        <is>
          <t>W21</t>
        </is>
      </c>
      <c r="L12" t="b">
        <v>0</v>
      </c>
    </row>
    <row r="13">
      <c r="A13" t="inlineStr">
        <is>
          <t>0419</t>
        </is>
      </c>
      <c r="B13" t="inlineStr">
        <is>
          <t>SP</t>
        </is>
      </c>
      <c r="C13" t="inlineStr">
        <is>
          <t>SP PO</t>
        </is>
      </c>
      <c r="D13" t="inlineStr">
        <is>
          <t>Arslan</t>
        </is>
      </c>
      <c r="E13" t="inlineStr">
        <is>
          <t>Q1 PO#1 &amp; #2 ready, pending shipment</t>
        </is>
      </c>
      <c r="F13" t="inlineStr">
        <is>
          <t>2026-04-30</t>
        </is>
      </c>
      <c r="G13" t="inlineStr">
        <is>
          <t>In process</t>
        </is>
      </c>
      <c r="H13" t="inlineStr">
        <is>
          <t>Shipment is ready for dispatched ETA will updated From HQ</t>
        </is>
      </c>
      <c r="K13" t="inlineStr">
        <is>
          <t>W21</t>
        </is>
      </c>
      <c r="L13" t="b">
        <v>0</v>
      </c>
    </row>
    <row r="14">
      <c r="A14" t="inlineStr">
        <is>
          <t>0419</t>
        </is>
      </c>
      <c r="B14" t="inlineStr">
        <is>
          <t>SP</t>
        </is>
      </c>
      <c r="C14" t="inlineStr">
        <is>
          <t>SP physical count</t>
        </is>
      </c>
      <c r="D14" t="inlineStr">
        <is>
          <t>Arslan</t>
        </is>
      </c>
      <c r="E14" t="inlineStr">
        <is>
          <t>SP physical count report</t>
        </is>
      </c>
      <c r="F14" t="inlineStr">
        <is>
          <t>Monthly</t>
        </is>
      </c>
      <c r="G14" t="inlineStr">
        <is>
          <t>Done</t>
        </is>
      </c>
      <c r="H14" t="inlineStr">
        <is>
          <t xml:space="preserve">10 / 10 Parts </t>
        </is>
      </c>
      <c r="K14" t="inlineStr">
        <is>
          <t>W23</t>
        </is>
      </c>
      <c r="L14" t="b">
        <v>1</v>
      </c>
    </row>
    <row r="15">
      <c r="A15" t="inlineStr">
        <is>
          <t>0419</t>
        </is>
      </c>
      <c r="B15" t="inlineStr">
        <is>
          <t>SP</t>
        </is>
      </c>
      <c r="C15" t="inlineStr">
        <is>
          <t>SP inventory in SVCs</t>
        </is>
      </c>
      <c r="D15" t="inlineStr">
        <is>
          <t>Arslan</t>
        </is>
      </c>
      <c r="E15" t="inlineStr">
        <is>
          <t>Replenish Safety stock to (Wifex - Classic )</t>
        </is>
      </c>
      <c r="F15" t="inlineStr">
        <is>
          <t>2026-04-30</t>
        </is>
      </c>
      <c r="G15" t="inlineStr">
        <is>
          <t>Done</t>
        </is>
      </c>
      <c r="H15" t="inlineStr">
        <is>
          <t>Done</t>
        </is>
      </c>
      <c r="K15" t="inlineStr">
        <is>
          <t>W23</t>
        </is>
      </c>
      <c r="L15" t="b">
        <v>1</v>
      </c>
    </row>
    <row r="16">
      <c r="A16" t="inlineStr">
        <is>
          <t>0419</t>
        </is>
      </c>
      <c r="B16" t="inlineStr">
        <is>
          <t>SP</t>
        </is>
      </c>
      <c r="C16" t="inlineStr">
        <is>
          <t>SP Defectives</t>
        </is>
      </c>
      <c r="D16" t="inlineStr">
        <is>
          <t>Arslan</t>
        </is>
      </c>
      <c r="E16" t="inlineStr">
        <is>
          <t>Collect Defected Parts</t>
        </is>
      </c>
      <c r="F16" t="inlineStr">
        <is>
          <t>Monthly</t>
        </is>
      </c>
      <c r="G16" t="inlineStr">
        <is>
          <t>In process</t>
        </is>
      </c>
      <c r="H16" t="inlineStr">
        <is>
          <t>28 received / 30 Pcs Actual /02 Pics need to collect</t>
        </is>
      </c>
      <c r="I16" t="inlineStr">
        <is>
          <t>02 remaining to collect  emails send to SVC will be collected this week delay beacuse of EID holidays</t>
        </is>
      </c>
      <c r="K16" t="inlineStr">
        <is>
          <t>W23</t>
        </is>
      </c>
      <c r="L16" t="b">
        <v>0</v>
      </c>
    </row>
    <row r="17">
      <c r="A17" t="inlineStr">
        <is>
          <t>0419</t>
        </is>
      </c>
      <c r="B17" t="inlineStr">
        <is>
          <t>SP</t>
        </is>
      </c>
      <c r="C17" t="inlineStr">
        <is>
          <t>SP FFR 24H</t>
        </is>
      </c>
      <c r="D17" t="inlineStr">
        <is>
          <t>Arslan</t>
        </is>
      </c>
      <c r="E17" t="inlineStr">
        <is>
          <t>SP Delivery within 24H</t>
        </is>
      </c>
      <c r="F17" t="inlineStr">
        <is>
          <t>Monthly</t>
        </is>
      </c>
      <c r="G17" t="inlineStr">
        <is>
          <t>Done</t>
        </is>
      </c>
      <c r="H17" t="inlineStr">
        <is>
          <t>29 Delivered / 29 Requets</t>
        </is>
      </c>
      <c r="K17" t="inlineStr">
        <is>
          <t>W23</t>
        </is>
      </c>
      <c r="L17" t="b">
        <v>1</v>
      </c>
    </row>
    <row r="18">
      <c r="A18" t="inlineStr">
        <is>
          <t>0419</t>
        </is>
      </c>
      <c r="B18" t="inlineStr">
        <is>
          <t>SP</t>
        </is>
      </c>
      <c r="C18" t="inlineStr">
        <is>
          <t>SP Inbound</t>
        </is>
      </c>
      <c r="D18" t="inlineStr">
        <is>
          <t>Arslan</t>
        </is>
      </c>
      <c r="E18" t="inlineStr">
        <is>
          <t>Inbound Feb shipement on GCSS</t>
        </is>
      </c>
      <c r="F18" t="inlineStr">
        <is>
          <t>2026-04-30</t>
        </is>
      </c>
      <c r="G18" t="inlineStr">
        <is>
          <t>In process</t>
        </is>
      </c>
      <c r="H18" t="inlineStr">
        <is>
          <t>4630 inbounded / 4690 received</t>
        </is>
      </c>
      <c r="I18" t="inlineStr">
        <is>
          <t xml:space="preserve">30 Pcs PCB for 11222004001632
 ODU PCB is remaining </t>
        </is>
      </c>
      <c r="J18" t="inlineStr">
        <is>
          <t xml:space="preserve">Packing Meterial - need to remove from system &amp; disposal </t>
        </is>
      </c>
      <c r="K18" t="inlineStr">
        <is>
          <t>W23</t>
        </is>
      </c>
      <c r="L18" t="b">
        <v>0</v>
      </c>
    </row>
    <row r="19">
      <c r="A19" t="inlineStr">
        <is>
          <t>0426</t>
        </is>
      </c>
      <c r="B19" t="inlineStr">
        <is>
          <t>SP</t>
        </is>
      </c>
      <c r="C19" t="inlineStr">
        <is>
          <t>SP liquidation</t>
        </is>
      </c>
      <c r="D19" t="inlineStr">
        <is>
          <t>Arslan</t>
        </is>
      </c>
      <c r="E19" t="inlineStr">
        <is>
          <t>package material liquidation</t>
        </is>
      </c>
      <c r="F19" t="inlineStr">
        <is>
          <t>2026-05-30</t>
        </is>
      </c>
      <c r="G19" t="inlineStr">
        <is>
          <t>In process</t>
        </is>
      </c>
      <c r="H19" t="inlineStr">
        <is>
          <t xml:space="preserve">- 26 Parts list ready for approvel 
- Include new packing meterial list </t>
        </is>
      </c>
      <c r="I19" t="inlineStr">
        <is>
          <t>Send for approvel to Mr. Victory</t>
        </is>
      </c>
      <c r="K19" t="inlineStr">
        <is>
          <t>W23</t>
        </is>
      </c>
      <c r="L19" t="b">
        <v>0</v>
      </c>
    </row>
    <row r="20">
      <c r="A20" t="inlineStr">
        <is>
          <t>0517</t>
        </is>
      </c>
      <c r="B20" t="inlineStr">
        <is>
          <t>CC</t>
        </is>
      </c>
      <c r="C20" t="inlineStr">
        <is>
          <t>CC Evalauation</t>
        </is>
      </c>
      <c r="D20" t="inlineStr">
        <is>
          <t>Moahed</t>
        </is>
      </c>
      <c r="E20" t="inlineStr">
        <is>
          <t>CC agents Evaluation report</t>
        </is>
      </c>
      <c r="F20" t="inlineStr">
        <is>
          <t>Monthly</t>
        </is>
      </c>
      <c r="G20" t="inlineStr">
        <is>
          <t>In process</t>
        </is>
      </c>
      <c r="H20" t="inlineStr">
        <is>
          <t>To be shared 7th Jun</t>
        </is>
      </c>
      <c r="I20" t="inlineStr">
        <is>
          <t>To be shared Today</t>
        </is>
      </c>
      <c r="K20" t="inlineStr">
        <is>
          <t>W23</t>
        </is>
      </c>
      <c r="L20" t="b">
        <v>0</v>
      </c>
    </row>
    <row r="21">
      <c r="A21" t="inlineStr">
        <is>
          <t>0419</t>
        </is>
      </c>
      <c r="B21" t="inlineStr">
        <is>
          <t>CC</t>
        </is>
      </c>
      <c r="C21" t="inlineStr">
        <is>
          <t>UAE Support</t>
        </is>
      </c>
      <c r="D21" t="inlineStr">
        <is>
          <t>Moahed</t>
        </is>
      </c>
      <c r="E21" t="inlineStr">
        <is>
          <t>Evaluate the perfomance of UAE 3rd Party Call Center agency</t>
        </is>
      </c>
      <c r="F21" t="inlineStr">
        <is>
          <t>2026-05-04</t>
        </is>
      </c>
      <c r="G21" t="inlineStr">
        <is>
          <t>Done</t>
        </is>
      </c>
      <c r="H21" t="inlineStr">
        <is>
          <t>Complated - Haseeb shared his ID</t>
        </is>
      </c>
      <c r="J21" t="inlineStr">
        <is>
          <t>shift of May to June</t>
        </is>
      </c>
      <c r="K21" t="inlineStr">
        <is>
          <t>W21</t>
        </is>
      </c>
      <c r="L21" t="b">
        <v>1</v>
      </c>
    </row>
    <row r="22">
      <c r="A22" t="inlineStr">
        <is>
          <t>0426</t>
        </is>
      </c>
      <c r="B22" t="inlineStr">
        <is>
          <t>CC</t>
        </is>
      </c>
      <c r="C22" t="inlineStr">
        <is>
          <t>Agent shift</t>
        </is>
      </c>
      <c r="D22" t="inlineStr">
        <is>
          <t>Moahed</t>
        </is>
      </c>
      <c r="E22" t="inlineStr">
        <is>
          <t>CC agents shift in May to June</t>
        </is>
      </c>
      <c r="F22" t="inlineStr">
        <is>
          <t>2026-05-07</t>
        </is>
      </c>
      <c r="G22" t="inlineStr">
        <is>
          <t>Done</t>
        </is>
      </c>
      <c r="H22" t="inlineStr">
        <is>
          <t xml:space="preserve">25th Jun ~ 15th Jul initially </t>
        </is>
      </c>
      <c r="K22" t="inlineStr">
        <is>
          <t>W21</t>
        </is>
      </c>
      <c r="L22" t="b">
        <v>1</v>
      </c>
    </row>
    <row r="23">
      <c r="A23" t="inlineStr">
        <is>
          <t>0419</t>
        </is>
      </c>
      <c r="B23" t="inlineStr">
        <is>
          <t>SN</t>
        </is>
      </c>
      <c r="C23" t="inlineStr">
        <is>
          <t>SVC Network</t>
        </is>
      </c>
      <c r="D23" t="inlineStr">
        <is>
          <t>Moahed</t>
        </is>
      </c>
      <c r="E23" t="inlineStr">
        <is>
          <t>Complaete ABL Training on order dispatch and accept</t>
        </is>
      </c>
      <c r="F23" t="inlineStr">
        <is>
          <t>2026-04-30</t>
        </is>
      </c>
      <c r="G23" t="inlineStr">
        <is>
          <t>Done</t>
        </is>
      </c>
      <c r="H23" t="inlineStr">
        <is>
          <t>Complated</t>
        </is>
      </c>
      <c r="K23" t="inlineStr">
        <is>
          <t>W21</t>
        </is>
      </c>
      <c r="L23" t="b">
        <v>1</v>
      </c>
    </row>
    <row r="24">
      <c r="A24" t="inlineStr">
        <is>
          <t>0419</t>
        </is>
      </c>
      <c r="B24" t="inlineStr">
        <is>
          <t>SN</t>
        </is>
      </c>
      <c r="C24" t="inlineStr">
        <is>
          <t>SVC Network</t>
        </is>
      </c>
      <c r="D24" t="inlineStr">
        <is>
          <t>Moahed</t>
        </is>
      </c>
      <c r="E24" t="inlineStr">
        <is>
          <t xml:space="preserve">Send Test Order to ABL </t>
        </is>
      </c>
      <c r="F24" t="inlineStr">
        <is>
          <t>2026-04-30</t>
        </is>
      </c>
      <c r="G24" t="inlineStr">
        <is>
          <t>Done</t>
        </is>
      </c>
      <c r="H24" t="inlineStr">
        <is>
          <t>Complated</t>
        </is>
      </c>
      <c r="K24" t="inlineStr">
        <is>
          <t>W21</t>
        </is>
      </c>
      <c r="L24" t="b">
        <v>1</v>
      </c>
    </row>
    <row r="25">
      <c r="A25" t="inlineStr">
        <is>
          <t>0426</t>
        </is>
      </c>
      <c r="B25" t="inlineStr">
        <is>
          <t>SN</t>
        </is>
      </c>
      <c r="C25" t="inlineStr">
        <is>
          <t>New ASP</t>
        </is>
      </c>
      <c r="D25" t="inlineStr">
        <is>
          <t>Moahed</t>
        </is>
      </c>
      <c r="E25" t="inlineStr">
        <is>
          <t>3 New ASP discussion</t>
        </is>
      </c>
      <c r="F25" t="inlineStr">
        <is>
          <t>2026-06-30</t>
        </is>
      </c>
      <c r="G25" t="inlineStr">
        <is>
          <t>In process</t>
        </is>
      </c>
      <c r="H25" t="inlineStr">
        <is>
          <t>1 Shared Contract - 2 Pending</t>
        </is>
      </c>
      <c r="I25" t="inlineStr">
        <is>
          <t>1 MDM Complated - Waiting other new ASP to share Data</t>
        </is>
      </c>
      <c r="J25" t="inlineStr">
        <is>
          <t xml:space="preserve">CHeck MDM Account </t>
        </is>
      </c>
      <c r="K25" t="inlineStr">
        <is>
          <t>W23</t>
        </is>
      </c>
      <c r="L25" t="b">
        <v>0</v>
      </c>
    </row>
    <row r="26">
      <c r="A26" t="inlineStr">
        <is>
          <t>0503</t>
        </is>
      </c>
      <c r="C26" t="inlineStr">
        <is>
          <t>SVC Network</t>
        </is>
      </c>
      <c r="D26" t="inlineStr">
        <is>
          <t>Moahed</t>
        </is>
      </c>
      <c r="E26" t="inlineStr">
        <is>
          <t>Auto Update for Dashboard</t>
        </is>
      </c>
      <c r="F26" t="inlineStr">
        <is>
          <t>2026-06-30</t>
        </is>
      </c>
      <c r="G26" t="inlineStr">
        <is>
          <t>In process</t>
        </is>
      </c>
      <c r="H26" t="inlineStr">
        <is>
          <t xml:space="preserve">Collect the data from HQ auto to the dashboard </t>
        </is>
      </c>
      <c r="I26" t="inlineStr">
        <is>
          <t xml:space="preserve">Pending for Meeting with HQ </t>
        </is>
      </c>
      <c r="K26" t="inlineStr">
        <is>
          <t>W23</t>
        </is>
      </c>
      <c r="L26" t="b">
        <v>0</v>
      </c>
    </row>
    <row r="27">
      <c r="A27" t="inlineStr">
        <is>
          <t>0419</t>
        </is>
      </c>
      <c r="B27" t="inlineStr">
        <is>
          <t>SN</t>
        </is>
      </c>
      <c r="C27" t="inlineStr">
        <is>
          <t>SVC Network</t>
        </is>
      </c>
      <c r="D27" t="inlineStr">
        <is>
          <t>Moahed</t>
        </is>
      </c>
      <c r="E27" t="inlineStr">
        <is>
          <t>Complate the Warranty payment to ASC</t>
        </is>
      </c>
      <c r="F27" t="inlineStr">
        <is>
          <t>2026-04-30</t>
        </is>
      </c>
      <c r="G27" t="inlineStr">
        <is>
          <t>Done</t>
        </is>
      </c>
      <c r="H27" t="inlineStr">
        <is>
          <t>Complated</t>
        </is>
      </c>
      <c r="K27" t="inlineStr">
        <is>
          <t>W21</t>
        </is>
      </c>
      <c r="L27" t="b">
        <v>1</v>
      </c>
    </row>
    <row r="28">
      <c r="A28" t="inlineStr">
        <is>
          <t>0406</t>
        </is>
      </c>
      <c r="B28" t="inlineStr">
        <is>
          <t>SN</t>
        </is>
      </c>
      <c r="C28" t="inlineStr">
        <is>
          <t>SVC Network</t>
        </is>
      </c>
      <c r="D28" t="inlineStr">
        <is>
          <t>Moahed</t>
        </is>
      </c>
      <c r="E28" t="inlineStr">
        <is>
          <t>Share The warranty Payment slip for Mar</t>
        </is>
      </c>
      <c r="F28" t="inlineStr">
        <is>
          <t>2026-05-07</t>
        </is>
      </c>
      <c r="G28" t="inlineStr">
        <is>
          <t>Done</t>
        </is>
      </c>
      <c r="H28" t="inlineStr">
        <is>
          <t>Complated</t>
        </is>
      </c>
      <c r="K28" t="inlineStr">
        <is>
          <t>W21</t>
        </is>
      </c>
      <c r="L28" t="b">
        <v>1</v>
      </c>
    </row>
    <row r="29">
      <c r="A29" t="inlineStr">
        <is>
          <t>0406</t>
        </is>
      </c>
      <c r="B29" t="inlineStr">
        <is>
          <t>SN</t>
        </is>
      </c>
      <c r="C29" t="inlineStr">
        <is>
          <t>SVC Network</t>
        </is>
      </c>
      <c r="D29" t="inlineStr">
        <is>
          <t>Moahed</t>
        </is>
      </c>
      <c r="E29" t="inlineStr">
        <is>
          <t>Update the ASC Details on GCSS System</t>
        </is>
      </c>
      <c r="F29" t="inlineStr">
        <is>
          <t>2026-05-07</t>
        </is>
      </c>
      <c r="G29" t="inlineStr">
        <is>
          <t>Done</t>
        </is>
      </c>
      <c r="H29" t="inlineStr">
        <is>
          <t>Complated</t>
        </is>
      </c>
      <c r="K29" t="inlineStr">
        <is>
          <t>W21</t>
        </is>
      </c>
      <c r="L29" t="b">
        <v>1</v>
      </c>
    </row>
    <row r="30">
      <c r="A30" t="inlineStr">
        <is>
          <t>0406</t>
        </is>
      </c>
      <c r="B30" t="inlineStr">
        <is>
          <t>SN</t>
        </is>
      </c>
      <c r="C30" t="inlineStr">
        <is>
          <t>SVC Network</t>
        </is>
      </c>
      <c r="D30" t="inlineStr">
        <is>
          <t>Moahed</t>
        </is>
      </c>
      <c r="E30" t="inlineStr">
        <is>
          <t xml:space="preserve">Start the process of Warranty orders </t>
        </is>
      </c>
      <c r="F30" t="inlineStr">
        <is>
          <t>2026-06-30</t>
        </is>
      </c>
      <c r="G30" t="inlineStr">
        <is>
          <t>In process</t>
        </is>
      </c>
      <c r="H30" t="inlineStr">
        <is>
          <t>3 Payment Uploaded - 1 pending for sharing the invoice ( Wifex )</t>
        </is>
      </c>
      <c r="I30" t="inlineStr">
        <is>
          <t>Share the confirmed list</t>
        </is>
      </c>
      <c r="K30" t="inlineStr">
        <is>
          <t>W23</t>
        </is>
      </c>
      <c r="L30" t="b">
        <v>0</v>
      </c>
    </row>
    <row r="31">
      <c r="A31" t="inlineStr">
        <is>
          <t>0511</t>
        </is>
      </c>
      <c r="B31" t="inlineStr">
        <is>
          <t>SN</t>
        </is>
      </c>
      <c r="C31" t="inlineStr">
        <is>
          <t>WO dispatch</t>
        </is>
      </c>
      <c r="D31" t="inlineStr">
        <is>
          <t>Moahed</t>
        </is>
      </c>
      <c r="E31" t="inlineStr">
        <is>
          <t>Floor standing work order dispatch SVCs, labor price discussion Classic &amp; ZAM WIFIX</t>
        </is>
      </c>
      <c r="F31" t="inlineStr">
        <is>
          <t>2026-06-30</t>
        </is>
      </c>
      <c r="G31" t="inlineStr">
        <is>
          <t>Done</t>
        </is>
      </c>
      <c r="H31" t="inlineStr">
        <is>
          <t xml:space="preserve">One order dispatched and we will pay the same labor fee for now </t>
        </is>
      </c>
      <c r="I31" t="inlineStr">
        <is>
          <t xml:space="preserve">1 received </t>
        </is>
      </c>
      <c r="K31" t="inlineStr">
        <is>
          <t>W23</t>
        </is>
      </c>
      <c r="L31" t="b">
        <v>1</v>
      </c>
    </row>
    <row r="32">
      <c r="A32" t="inlineStr">
        <is>
          <t>0426</t>
        </is>
      </c>
      <c r="B32" t="inlineStr">
        <is>
          <t>SN</t>
        </is>
      </c>
      <c r="C32" t="inlineStr">
        <is>
          <t>Labor fee</t>
        </is>
      </c>
      <c r="D32" t="inlineStr">
        <is>
          <t>Moahed - Victory</t>
        </is>
      </c>
      <c r="E32" t="inlineStr">
        <is>
          <t>Commerical AC &amp; Floor standing</t>
        </is>
      </c>
      <c r="F32" t="inlineStr">
        <is>
          <t>2026-06-30</t>
        </is>
      </c>
      <c r="G32" t="inlineStr">
        <is>
          <t>In process</t>
        </is>
      </c>
      <c r="I32" t="inlineStr">
        <is>
          <t xml:space="preserve">Excel file is ready pending for system update </t>
        </is>
      </c>
      <c r="K32" t="inlineStr">
        <is>
          <t>W23</t>
        </is>
      </c>
      <c r="L32" t="b">
        <v>0</v>
      </c>
    </row>
    <row r="33">
      <c r="A33" t="inlineStr">
        <is>
          <t>0426</t>
        </is>
      </c>
      <c r="B33" t="inlineStr">
        <is>
          <t>SN</t>
        </is>
      </c>
      <c r="C33" t="inlineStr">
        <is>
          <t>ASP Settlement</t>
        </is>
      </c>
      <c r="D33" t="inlineStr">
        <is>
          <t>Victory</t>
        </is>
      </c>
      <c r="E33" t="inlineStr">
        <is>
          <t>online payment operation</t>
        </is>
      </c>
      <c r="F33" t="inlineStr">
        <is>
          <t>2026-05-30</t>
        </is>
      </c>
      <c r="G33" t="inlineStr">
        <is>
          <t>New</t>
        </is>
      </c>
      <c r="H33" t="inlineStr">
        <is>
          <t xml:space="preserve">Under checking with IT </t>
        </is>
      </c>
      <c r="K33" t="inlineStr">
        <is>
          <t>W19</t>
        </is>
      </c>
      <c r="L33" t="b">
        <v>0</v>
      </c>
    </row>
    <row r="34">
      <c r="A34" t="inlineStr">
        <is>
          <t>0419</t>
        </is>
      </c>
      <c r="B34" t="inlineStr">
        <is>
          <t>IT</t>
        </is>
      </c>
      <c r="C34" t="inlineStr">
        <is>
          <t>GCSS system</t>
        </is>
      </c>
      <c r="D34" t="inlineStr">
        <is>
          <t>Victory</t>
        </is>
      </c>
      <c r="E34" t="inlineStr">
        <is>
          <t>GCSS improvement requirements &amp; follow up total18</t>
        </is>
      </c>
      <c r="F34" t="inlineStr">
        <is>
          <t>Monthly</t>
        </is>
      </c>
      <c r="G34" t="inlineStr">
        <is>
          <t>In process</t>
        </is>
      </c>
      <c r="H34" t="inlineStr">
        <is>
          <t xml:space="preserve">6 done / 12 in process Total 18 </t>
        </is>
      </c>
      <c r="I34" t="inlineStr">
        <is>
          <t>Before jun HQ will complate 3</t>
        </is>
      </c>
      <c r="K34" t="inlineStr">
        <is>
          <t>W23</t>
        </is>
      </c>
      <c r="L34" t="b">
        <v>0</v>
      </c>
    </row>
    <row r="35">
      <c r="A35" t="inlineStr">
        <is>
          <t>0426</t>
        </is>
      </c>
      <c r="B35" t="inlineStr">
        <is>
          <t>SN</t>
        </is>
      </c>
      <c r="C35" t="inlineStr">
        <is>
          <t>New ASP</t>
        </is>
      </c>
      <c r="D35" t="inlineStr">
        <is>
          <t>Victory</t>
        </is>
      </c>
      <c r="E35" t="inlineStr">
        <is>
          <t>Sign New contract for HLM</t>
        </is>
      </c>
      <c r="F35" t="inlineStr">
        <is>
          <t>2026-06-30</t>
        </is>
      </c>
      <c r="G35" t="inlineStr">
        <is>
          <t>In process</t>
        </is>
      </c>
      <c r="H35" t="inlineStr">
        <is>
          <t>Check with Jon</t>
        </is>
      </c>
      <c r="K35" t="inlineStr">
        <is>
          <t>W19</t>
        </is>
      </c>
      <c r="L35" t="b">
        <v>0</v>
      </c>
    </row>
    <row r="36">
      <c r="A36" t="inlineStr">
        <is>
          <t>0426</t>
        </is>
      </c>
      <c r="B36" t="inlineStr">
        <is>
          <t>TEC</t>
        </is>
      </c>
      <c r="C36" t="inlineStr">
        <is>
          <t>Training Online</t>
        </is>
      </c>
      <c r="D36" t="inlineStr">
        <is>
          <t>Ahad</t>
        </is>
      </c>
      <c r="E36" t="inlineStr">
        <is>
          <t xml:space="preserve">1.ABL Service Centers( Including Floor Standing ) 
</t>
        </is>
      </c>
      <c r="F36" t="inlineStr">
        <is>
          <t>2026-05-17</t>
        </is>
      </c>
      <c r="G36" t="inlineStr">
        <is>
          <t>In process</t>
        </is>
      </c>
      <c r="H36" t="inlineStr">
        <is>
          <t>Offline Training 17th May</t>
        </is>
      </c>
      <c r="I36" t="inlineStr">
        <is>
          <t xml:space="preserve">To be conduct in Jeddah - Arrange food &amp; Claim 
Take photos </t>
        </is>
      </c>
      <c r="J36" t="inlineStr">
        <is>
          <t xml:space="preserve">Dammam Staff came to Riyadh </t>
        </is>
      </c>
      <c r="K36" t="inlineStr">
        <is>
          <t>W21</t>
        </is>
      </c>
      <c r="L36" t="b">
        <v>0</v>
      </c>
    </row>
    <row r="37">
      <c r="A37" t="inlineStr">
        <is>
          <t>0426</t>
        </is>
      </c>
      <c r="B37" t="inlineStr">
        <is>
          <t>TEC</t>
        </is>
      </c>
      <c r="C37" t="inlineStr">
        <is>
          <t>Installation Training</t>
        </is>
      </c>
      <c r="D37" t="inlineStr">
        <is>
          <t>Ahad</t>
        </is>
      </c>
      <c r="E37" t="inlineStr">
        <is>
          <t>Installtion Training for Sales Dealers Teams in Riyadh</t>
        </is>
      </c>
      <c r="F37" t="inlineStr">
        <is>
          <t>2026-05-31</t>
        </is>
      </c>
      <c r="G37" t="inlineStr">
        <is>
          <t>In process</t>
        </is>
      </c>
      <c r="H37" t="inlineStr">
        <is>
          <t>0 times / plan 1 times.</t>
        </is>
      </c>
      <c r="I37" t="inlineStr">
        <is>
          <t>As per Sales team New Installation companies Registration in progress.Hopefully we can conduct Installation Training in Next Week.</t>
        </is>
      </c>
      <c r="K37" t="inlineStr">
        <is>
          <t>W21</t>
        </is>
      </c>
      <c r="L37" t="b">
        <v>0</v>
      </c>
    </row>
    <row r="38">
      <c r="A38" t="inlineStr">
        <is>
          <t>0511</t>
        </is>
      </c>
      <c r="B38" t="inlineStr">
        <is>
          <t>SP</t>
        </is>
      </c>
      <c r="C38" t="inlineStr">
        <is>
          <t>SP PO</t>
        </is>
      </c>
      <c r="D38" t="inlineStr">
        <is>
          <t>Arslan</t>
        </is>
      </c>
      <c r="E38" t="inlineStr">
        <is>
          <t>Request GOA replacement request for - AUX19HQCA 1 unit  &amp; AUX19CQA 1 unit</t>
        </is>
      </c>
      <c r="F38" t="inlineStr">
        <is>
          <t>2026-05-11</t>
        </is>
      </c>
      <c r="G38" t="inlineStr">
        <is>
          <t>Done</t>
        </is>
      </c>
      <c r="H38" t="inlineStr">
        <is>
          <t xml:space="preserve">Apply in GOA its approved </t>
        </is>
      </c>
      <c r="K38" t="inlineStr">
        <is>
          <t>W23</t>
        </is>
      </c>
      <c r="L38" t="b">
        <v>1</v>
      </c>
    </row>
    <row r="39">
      <c r="A39" t="inlineStr">
        <is>
          <t>0511</t>
        </is>
      </c>
      <c r="B39" t="inlineStr">
        <is>
          <t>SP</t>
        </is>
      </c>
      <c r="C39" t="inlineStr">
        <is>
          <t>SP inventory in SVCs</t>
        </is>
      </c>
      <c r="D39" t="inlineStr">
        <is>
          <t>Arslan</t>
        </is>
      </c>
      <c r="E39" t="inlineStr">
        <is>
          <t xml:space="preserve">Supply safety stock for ABL </t>
        </is>
      </c>
      <c r="F39" t="inlineStr">
        <is>
          <t>2026-06-15</t>
        </is>
      </c>
      <c r="G39" t="inlineStr">
        <is>
          <t>In process</t>
        </is>
      </c>
      <c r="H39" t="inlineStr">
        <is>
          <t>Safety Stock List is ready will be dispatched after Eid holidays</t>
        </is>
      </c>
      <c r="K39" t="inlineStr">
        <is>
          <t>W23</t>
        </is>
      </c>
      <c r="L39" t="b">
        <v>0</v>
      </c>
    </row>
    <row r="40">
      <c r="A40" t="inlineStr">
        <is>
          <t>0511</t>
        </is>
      </c>
      <c r="B40" t="inlineStr">
        <is>
          <t>SN</t>
        </is>
      </c>
      <c r="C40" t="inlineStr">
        <is>
          <t>Call Center</t>
        </is>
      </c>
      <c r="D40" t="inlineStr">
        <is>
          <t>Moahed</t>
        </is>
      </c>
      <c r="E40" t="inlineStr">
        <is>
          <t xml:space="preserve">Check AI agent task and cost </t>
        </is>
      </c>
      <c r="F40" t="inlineStr">
        <is>
          <t>2026-05-31</t>
        </is>
      </c>
      <c r="G40" t="inlineStr">
        <is>
          <t>Done</t>
        </is>
      </c>
      <c r="H40" t="inlineStr">
        <is>
          <t xml:space="preserve">Cost will be 1035 Agent for 5000 Credit </t>
        </is>
      </c>
      <c r="I40" t="inlineStr">
        <is>
          <t>test the lowest version - for after working hours</t>
        </is>
      </c>
      <c r="K40" t="inlineStr">
        <is>
          <t>W23</t>
        </is>
      </c>
      <c r="L40" t="b">
        <v>1</v>
      </c>
    </row>
    <row r="41">
      <c r="A41" t="inlineStr">
        <is>
          <t>0511</t>
        </is>
      </c>
      <c r="B41" t="inlineStr">
        <is>
          <t>SN</t>
        </is>
      </c>
      <c r="C41" t="inlineStr">
        <is>
          <t>WO dispatch</t>
        </is>
      </c>
      <c r="D41" t="inlineStr">
        <is>
          <t>Moahed</t>
        </is>
      </c>
      <c r="E41" t="inlineStr">
        <is>
          <t xml:space="preserve">eXtra Contract Discussion </t>
        </is>
      </c>
      <c r="F41" t="inlineStr">
        <is>
          <t>2026-05-11</t>
        </is>
      </c>
      <c r="G41" t="inlineStr">
        <is>
          <t>Done</t>
        </is>
      </c>
      <c r="H41" t="inlineStr">
        <is>
          <t xml:space="preserve">Share extra feedback on group </t>
        </is>
      </c>
      <c r="I41" t="inlineStr">
        <is>
          <t>share the contract on group</t>
        </is>
      </c>
      <c r="K41" t="inlineStr">
        <is>
          <t>W23</t>
        </is>
      </c>
      <c r="L41" t="b">
        <v>1</v>
      </c>
    </row>
    <row r="42">
      <c r="A42" t="inlineStr">
        <is>
          <t>0426</t>
        </is>
      </c>
      <c r="B42" t="inlineStr">
        <is>
          <t>SN</t>
        </is>
      </c>
      <c r="C42" t="inlineStr">
        <is>
          <t>New ASP</t>
        </is>
      </c>
      <c r="D42" t="inlineStr">
        <is>
          <t>Victory</t>
        </is>
      </c>
      <c r="E42" t="inlineStr">
        <is>
          <t>Sign New contract for HMA</t>
        </is>
      </c>
      <c r="F42" t="inlineStr">
        <is>
          <t>2026-06-30</t>
        </is>
      </c>
      <c r="G42" t="inlineStr">
        <is>
          <t>In process</t>
        </is>
      </c>
      <c r="H42" t="inlineStr">
        <is>
          <t>under GOA Contract Proccess</t>
        </is>
      </c>
      <c r="K42" t="inlineStr">
        <is>
          <t>W23</t>
        </is>
      </c>
      <c r="L42" t="b">
        <v>0</v>
      </c>
    </row>
    <row r="43">
      <c r="A43" t="inlineStr">
        <is>
          <t>0607</t>
        </is>
      </c>
      <c r="B43" t="inlineStr">
        <is>
          <t>TEC</t>
        </is>
      </c>
      <c r="C43" t="inlineStr">
        <is>
          <t>Training Online</t>
        </is>
      </c>
      <c r="D43" t="inlineStr">
        <is>
          <t>Ahad</t>
        </is>
      </c>
      <c r="E43" t="inlineStr">
        <is>
          <t>1.Technical training for SVCs in Jeddah City</t>
        </is>
      </c>
      <c r="F43" t="inlineStr">
        <is>
          <t>2026-06-18</t>
        </is>
      </c>
      <c r="G43" t="inlineStr">
        <is>
          <t>In process</t>
        </is>
      </c>
      <c r="H43" t="inlineStr">
        <is>
          <t>Technical Service Training for Floor Standing , RAC ,LCAC Products.Plan1/Completed 0</t>
        </is>
      </c>
      <c r="I43" t="inlineStr">
        <is>
          <t>Training will be conducted for ZAM and ABL Teams on 18th June,Waiting for Sales team confirmation to finalize Training dates.</t>
        </is>
      </c>
      <c r="K43" t="inlineStr">
        <is>
          <t>W23</t>
        </is>
      </c>
      <c r="L43" t="b">
        <v>0</v>
      </c>
    </row>
    <row r="44">
      <c r="A44" t="inlineStr">
        <is>
          <t>0607</t>
        </is>
      </c>
      <c r="B44" t="inlineStr">
        <is>
          <t>TEC</t>
        </is>
      </c>
      <c r="C44" t="inlineStr">
        <is>
          <t>Installation Training</t>
        </is>
      </c>
      <c r="D44" t="inlineStr">
        <is>
          <t>Ahad</t>
        </is>
      </c>
      <c r="E44" t="inlineStr">
        <is>
          <t>Installtion Training for Sales Dealers Teams in Jeddah and Riyadh</t>
        </is>
      </c>
      <c r="F44" t="inlineStr">
        <is>
          <t>2026/6/31</t>
        </is>
      </c>
      <c r="G44" t="inlineStr">
        <is>
          <t>In process</t>
        </is>
      </c>
      <c r="H44" t="inlineStr">
        <is>
          <t>InstallationTraining for Floor Standing , RAC ,LCAC Products.Plan1/Completed 1</t>
        </is>
      </c>
      <c r="I44" t="inlineStr">
        <is>
          <t>Waiting for Jeddah and Riyadh Salesteam Confirmation.</t>
        </is>
      </c>
      <c r="K44" t="inlineStr">
        <is>
          <t>W23</t>
        </is>
      </c>
      <c r="L44" t="b">
        <v>0</v>
      </c>
    </row>
    <row r="45">
      <c r="A45" t="inlineStr">
        <is>
          <t>0524</t>
        </is>
      </c>
      <c r="B45" t="inlineStr">
        <is>
          <t>TEC</t>
        </is>
      </c>
      <c r="C45" t="inlineStr">
        <is>
          <t>Training Room</t>
        </is>
      </c>
      <c r="D45" t="inlineStr">
        <is>
          <t>Ahad</t>
        </is>
      </c>
      <c r="E45" t="inlineStr">
        <is>
          <t>Paint training rooms</t>
        </is>
      </c>
      <c r="F45" t="inlineStr">
        <is>
          <t>2026-06-30</t>
        </is>
      </c>
      <c r="G45" t="inlineStr">
        <is>
          <t>In process</t>
        </is>
      </c>
      <c r="J45" t="inlineStr">
        <is>
          <t>New Tasks</t>
        </is>
      </c>
      <c r="K45" t="inlineStr">
        <is>
          <t>W23</t>
        </is>
      </c>
      <c r="L45" t="b">
        <v>0</v>
      </c>
    </row>
    <row r="46">
      <c r="A46" t="inlineStr">
        <is>
          <t>0419</t>
        </is>
      </c>
      <c r="B46" t="inlineStr">
        <is>
          <t>SP</t>
        </is>
      </c>
      <c r="C46" t="inlineStr">
        <is>
          <t>SP PO</t>
        </is>
      </c>
      <c r="D46" t="inlineStr">
        <is>
          <t>Arslan</t>
        </is>
      </c>
      <c r="E46" t="inlineStr">
        <is>
          <t>Total 04 Purchased orders Placed to HQ</t>
        </is>
      </c>
      <c r="F46" t="inlineStr">
        <is>
          <t>2026-04-30</t>
        </is>
      </c>
      <c r="G46" t="inlineStr">
        <is>
          <t>In process</t>
        </is>
      </c>
      <c r="H46" t="inlineStr">
        <is>
          <t xml:space="preserve">Complated : Q1 PO#1 &amp; #2 ready,Approved. pending for shipping - ETA 12th Jun </t>
        </is>
      </c>
      <c r="I46" t="inlineStr">
        <is>
          <t>Pending List - PO3 &amp; PO4 PLaced Approved now waiting for the updated for shipment .</t>
        </is>
      </c>
      <c r="K46" t="inlineStr">
        <is>
          <t>W23</t>
        </is>
      </c>
      <c r="L46" t="b">
        <v>0</v>
      </c>
    </row>
    <row r="47">
      <c r="A47" t="inlineStr">
        <is>
          <t>0607</t>
        </is>
      </c>
      <c r="B47" t="inlineStr">
        <is>
          <t>SP</t>
        </is>
      </c>
      <c r="C47" t="inlineStr">
        <is>
          <t>SP Inventorty</t>
        </is>
      </c>
      <c r="D47" t="inlineStr">
        <is>
          <t>Arslan</t>
        </is>
      </c>
      <c r="E47" t="inlineStr">
        <is>
          <t>package material liquidation</t>
        </is>
      </c>
      <c r="F47" t="inlineStr">
        <is>
          <t>2026-05-30</t>
        </is>
      </c>
      <c r="G47" t="inlineStr">
        <is>
          <t>In process</t>
        </is>
      </c>
      <c r="H47" t="inlineStr">
        <is>
          <t xml:space="preserve">- 26 Parts list ready for approvel 
- Include new packing meterial list </t>
        </is>
      </c>
      <c r="I47" t="inlineStr">
        <is>
          <t>Send for approvel to Mr. Victory</t>
        </is>
      </c>
      <c r="K47" t="inlineStr">
        <is>
          <t>W23</t>
        </is>
      </c>
      <c r="L47" t="b">
        <v>0</v>
      </c>
    </row>
    <row r="48">
      <c r="A48" t="inlineStr">
        <is>
          <t>0517</t>
        </is>
      </c>
      <c r="B48" t="inlineStr">
        <is>
          <t>SN</t>
        </is>
      </c>
      <c r="C48" t="inlineStr">
        <is>
          <t>Call Center</t>
        </is>
      </c>
      <c r="D48" t="inlineStr">
        <is>
          <t>Moahed</t>
        </is>
      </c>
      <c r="E48" t="inlineStr">
        <is>
          <t>EID IVR</t>
        </is>
      </c>
      <c r="F48" t="inlineStr">
        <is>
          <t>2026-05-31</t>
        </is>
      </c>
      <c r="G48" t="inlineStr">
        <is>
          <t>Done</t>
        </is>
      </c>
      <c r="H48" t="inlineStr">
        <is>
          <t xml:space="preserve">create the IVR by bevatel </t>
        </is>
      </c>
      <c r="K48" t="inlineStr">
        <is>
          <t>W23</t>
        </is>
      </c>
      <c r="L48" t="b">
        <v>1</v>
      </c>
    </row>
  </sheetData>
  <conditionalFormatting sqref="G2:G48">
    <cfRule type="cellIs" priority="1" operator="equal" dxfId="0">
      <formula>"Done"</formula>
    </cfRule>
    <cfRule type="cellIs" priority="2" operator="equal" dxfId="1">
      <formula>"In process"</formula>
    </cfRule>
    <cfRule type="cellIs" priority="3" operator="equal" dxfId="2">
      <formula>"New"</formula>
    </cfRule>
  </conditionalFormatting>
  <conditionalFormatting sqref="A2:L48">
    <cfRule type="expression" priority="4" dxfId="3">
      <formula>$L2=TRUE</formula>
    </cfRule>
  </conditionalFormatting>
  <dataValidations count="2">
    <dataValidation sqref="G2:G248" showDropDown="0" showInputMessage="0" showErrorMessage="0" allowBlank="1" errorTitle="Invalid status" error="Choose Done, In process, or New." promptTitle="Status" prompt="Pick: Done / In process / New" type="list">
      <formula1>"Done,In process,New"</formula1>
    </dataValidation>
    <dataValidation sqref="L2:L248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How to Use This Dashboard</t>
        </is>
      </c>
    </row>
    <row r="2">
      <c r="A2" s="23" t="inlineStr"/>
    </row>
    <row r="3">
      <c r="A3" s="23" t="inlineStr">
        <is>
          <t>1. Go to the 'Tasks' sheet to edit task data.</t>
        </is>
      </c>
    </row>
    <row r="4">
      <c r="A4" s="23" t="inlineStr">
        <is>
          <t>2. The 'Status' column has a dropdown — pick Done / In process / New.</t>
        </is>
      </c>
    </row>
    <row r="5">
      <c r="A5" s="23" t="inlineStr">
        <is>
          <t>3. The 'Done? (✓)' column toggles TRUE/FALSE — TRUE strikes through the row.</t>
        </is>
      </c>
    </row>
    <row r="6">
      <c r="A6" s="23" t="inlineStr">
        <is>
          <t>4. All KPIs, charts and trend tables on 'Dashboard' update automatically.</t>
        </is>
      </c>
    </row>
    <row r="7">
      <c r="A7" s="23" t="inlineStr">
        <is>
          <t>5. Use the filter buttons on the Tasks table to slice by PIC, Module, Week, Status.</t>
        </is>
      </c>
    </row>
    <row r="8">
      <c r="A8" s="23" t="inlineStr">
        <is>
          <t>6. Weekly Trend section compares W19 / W21 / W23 progress side by side.</t>
        </is>
      </c>
    </row>
    <row r="9">
      <c r="A9" s="23" t="inlineStr">
        <is>
          <t>7. Employee × Week heat matrix shows performance progression per person.</t>
        </is>
      </c>
    </row>
    <row r="10">
      <c r="A10" s="23" t="inlineStr"/>
    </row>
    <row r="11">
      <c r="A11" s="23" t="inlineStr">
        <is>
          <t>Color legend:</t>
        </is>
      </c>
    </row>
    <row r="12">
      <c r="A12" s="23" t="inlineStr">
        <is>
          <t xml:space="preserve">   Green = Done    Yellow = In process    Red = New /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2026-06-07T13:13:06Z</dcterms:created>
  <dcterms:modified xmlns:dcterms="http://purl.org/dc/terms/" xmlns:xsi="http://www.w3.org/2001/XMLSchema-instance" xsi:type="dcterms:W3CDTF">2026-06-07T13:13:06Z</dcterms:modified>
</cp:coreProperties>
</file>